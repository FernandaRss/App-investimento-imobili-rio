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c27c372b3c9a7/Documentos/CURSOS/GRUPO SANTANDER/Excel Dio/"/>
    </mc:Choice>
  </mc:AlternateContent>
  <xr:revisionPtr revIDLastSave="55" documentId="8_{3B3510AD-904A-47CE-AE4A-49A667F50201}" xr6:coauthVersionLast="47" xr6:coauthVersionMax="47" xr10:uidLastSave="{8C32F820-7B42-4C74-8234-E0E325BF0D39}"/>
  <bookViews>
    <workbookView xWindow="28680" yWindow="-120" windowWidth="29040" windowHeight="15720" tabRatio="0" xr2:uid="{1156C9D1-C8C8-45E1-AD44-54A64AD3D72F}"/>
  </bookViews>
  <sheets>
    <sheet name="APP" sheetId="1" r:id="rId1"/>
    <sheet name="Planilha2" sheetId="2" r:id="rId2"/>
  </sheets>
  <definedNames>
    <definedName name="aporte">APP!$D$18</definedName>
    <definedName name="patrimonio">APP!$D$21</definedName>
    <definedName name="qtd_anos">APP!$D$19</definedName>
    <definedName name="rendimento_carteira">APP!$D$14</definedName>
    <definedName name="salario">APP!$D$13</definedName>
    <definedName name="sugestao_investimento">APP!$D$15</definedName>
    <definedName name="taxa_mensal">APP!$D$20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D39" i="1" s="1"/>
  <c r="C40" i="1"/>
  <c r="D40" i="1" s="1"/>
  <c r="C35" i="1"/>
  <c r="D35" i="1" s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D38" i="1" l="1"/>
  <c r="D37" i="1"/>
  <c r="D36" i="1"/>
  <c r="D41" i="1" l="1"/>
</calcChain>
</file>

<file path=xl/sharedStrings.xml><?xml version="1.0" encoding="utf-8"?>
<sst xmlns="http://schemas.openxmlformats.org/spreadsheetml/2006/main" count="70" uniqueCount="36">
  <si>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</si>
  <si>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</si>
  <si>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</si>
  <si>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</si>
  <si>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</si>
  <si>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</si>
  <si>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10 anos?</t>
  </si>
  <si>
    <t>Quanto em 20 anos?</t>
  </si>
  <si>
    <t xml:space="preserve">Quanto em 30 anos? </t>
  </si>
  <si>
    <t>Quanto em 2 anos?</t>
  </si>
  <si>
    <t>Quanto em 5 anos?</t>
  </si>
  <si>
    <t>CENÁRIOS</t>
  </si>
  <si>
    <t>DIVIDENDO</t>
  </si>
  <si>
    <t>Rendimento carteira</t>
  </si>
  <si>
    <t>Salário</t>
  </si>
  <si>
    <t>CONFIGURAÇÕES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</si>
  <si>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</si>
  <si>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</si>
  <si>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</si>
  <si>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</si>
  <si>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</si>
  <si>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</si>
  <si>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</si>
  <si>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</si>
  <si>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</si>
  <si>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</si>
  <si>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</si>
  <si>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</si>
  <si>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</si>
  <si>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Tipo de FII</t>
  </si>
  <si>
    <t>Perfil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</si>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</sst>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0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Segoe UI Black"/>
      <family val="2"/>
    </font>
    <font>
      <b/>
      <sz val="12"/>
      <color theme="0"/>
      <name val="Segoe UI Black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color rgb="FF9C5700"/>
      <name val="Aptos Narrow"/>
      <family val="2"/>
      <scheme val="minor"/>
    </font>
    <font>
      <b/>
      <sz val="18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2">
    <xf numFmtId="0" fontId="0" fillId="0" borderId="0" xfId="0"/>
    <xf numFmtId="0" fontId="3" fillId="0" borderId="0" xfId="0" applyFont="1"/>
    <xf numFmtId="9" fontId="0" fillId="0" borderId="0" xfId="1" applyFont="1"/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indent="3"/>
    </xf>
    <xf numFmtId="0" fontId="8" fillId="0" borderId="17" xfId="0" applyFont="1" applyBorder="1" applyAlignment="1">
      <alignment horizontal="left" vertical="center" indent="3"/>
    </xf>
    <xf numFmtId="0" fontId="11" fillId="4" borderId="17" xfId="0" applyFont="1" applyFill="1" applyBorder="1" applyAlignment="1">
      <alignment horizontal="left" vertical="center" indent="3"/>
    </xf>
    <xf numFmtId="0" fontId="8" fillId="4" borderId="16" xfId="0" applyFont="1" applyFill="1" applyBorder="1" applyAlignment="1">
      <alignment horizontal="left" indent="3"/>
    </xf>
    <xf numFmtId="0" fontId="8" fillId="4" borderId="17" xfId="0" applyFont="1" applyFill="1" applyBorder="1" applyAlignment="1">
      <alignment horizontal="left" indent="3"/>
    </xf>
    <xf numFmtId="0" fontId="8" fillId="4" borderId="18" xfId="0" applyFont="1" applyFill="1" applyBorder="1" applyAlignment="1">
      <alignment horizontal="left" vertical="center" indent="3"/>
    </xf>
    <xf numFmtId="0" fontId="8" fillId="4" borderId="20" xfId="0" applyFont="1" applyFill="1" applyBorder="1" applyAlignment="1">
      <alignment horizontal="left" vertical="center" indent="3"/>
    </xf>
    <xf numFmtId="0" fontId="8" fillId="4" borderId="22" xfId="0" applyFont="1" applyFill="1" applyBorder="1" applyAlignment="1">
      <alignment horizontal="left" vertical="center" indent="3"/>
    </xf>
    <xf numFmtId="0" fontId="8" fillId="0" borderId="18" xfId="0" applyFont="1" applyBorder="1" applyAlignment="1">
      <alignment horizontal="left" vertical="center" indent="3"/>
    </xf>
    <xf numFmtId="170" fontId="10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indent="3"/>
    </xf>
    <xf numFmtId="1" fontId="10" fillId="0" borderId="21" xfId="0" applyNumberFormat="1" applyFont="1" applyBorder="1" applyAlignment="1">
      <alignment horizontal="center" vertical="center"/>
    </xf>
    <xf numFmtId="10" fontId="10" fillId="0" borderId="21" xfId="0" applyNumberFormat="1" applyFont="1" applyBorder="1" applyAlignment="1">
      <alignment horizontal="center" vertical="center"/>
    </xf>
    <xf numFmtId="0" fontId="11" fillId="4" borderId="20" xfId="0" applyFont="1" applyFill="1" applyBorder="1" applyAlignment="1">
      <alignment horizontal="left" vertical="center" indent="3"/>
    </xf>
    <xf numFmtId="8" fontId="10" fillId="4" borderId="21" xfId="0" applyNumberFormat="1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left" vertical="center" indent="3"/>
    </xf>
    <xf numFmtId="0" fontId="11" fillId="4" borderId="23" xfId="0" applyFont="1" applyFill="1" applyBorder="1" applyAlignment="1">
      <alignment horizontal="left" vertical="center" indent="3"/>
    </xf>
    <xf numFmtId="8" fontId="10" fillId="4" borderId="24" xfId="0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left" indent="3"/>
    </xf>
    <xf numFmtId="170" fontId="9" fillId="0" borderId="19" xfId="0" applyNumberFormat="1" applyFont="1" applyBorder="1" applyAlignment="1">
      <alignment horizontal="center" vertical="center"/>
    </xf>
    <xf numFmtId="0" fontId="8" fillId="4" borderId="20" xfId="0" applyFont="1" applyFill="1" applyBorder="1" applyAlignment="1">
      <alignment horizontal="left" indent="3"/>
    </xf>
    <xf numFmtId="10" fontId="9" fillId="0" borderId="21" xfId="0" applyNumberFormat="1" applyFont="1" applyBorder="1" applyAlignment="1">
      <alignment horizontal="center" vertical="center"/>
    </xf>
    <xf numFmtId="0" fontId="8" fillId="4" borderId="22" xfId="0" applyFont="1" applyFill="1" applyBorder="1" applyAlignment="1">
      <alignment horizontal="left" indent="3"/>
    </xf>
    <xf numFmtId="0" fontId="8" fillId="4" borderId="23" xfId="0" applyFont="1" applyFill="1" applyBorder="1" applyAlignment="1">
      <alignment horizontal="left" indent="3"/>
    </xf>
    <xf numFmtId="170" fontId="9" fillId="4" borderId="24" xfId="0" applyNumberFormat="1" applyFont="1" applyFill="1" applyBorder="1" applyAlignment="1">
      <alignment horizontal="center" vertical="center"/>
    </xf>
    <xf numFmtId="0" fontId="2" fillId="2" borderId="0" xfId="2"/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3"/>
    </xf>
    <xf numFmtId="9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indent="3"/>
    </xf>
    <xf numFmtId="0" fontId="0" fillId="0" borderId="12" xfId="0" applyBorder="1"/>
    <xf numFmtId="0" fontId="0" fillId="0" borderId="12" xfId="0" applyBorder="1" applyAlignment="1">
      <alignment horizontal="left" indent="3"/>
    </xf>
    <xf numFmtId="9" fontId="0" fillId="0" borderId="0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2" fillId="2" borderId="0" xfId="1" applyFont="1" applyFill="1"/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indent="3"/>
    </xf>
    <xf numFmtId="9" fontId="8" fillId="0" borderId="13" xfId="0" applyNumberFormat="1" applyFont="1" applyBorder="1" applyAlignment="1">
      <alignment horizontal="center" vertical="center"/>
    </xf>
    <xf numFmtId="170" fontId="8" fillId="4" borderId="6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indent="3"/>
    </xf>
    <xf numFmtId="9" fontId="8" fillId="0" borderId="14" xfId="0" applyNumberFormat="1" applyFont="1" applyBorder="1" applyAlignment="1">
      <alignment horizontal="center" vertical="center"/>
    </xf>
    <xf numFmtId="170" fontId="8" fillId="4" borderId="8" xfId="0" applyNumberFormat="1" applyFont="1" applyFill="1" applyBorder="1" applyAlignment="1">
      <alignment horizontal="center" vertical="center"/>
    </xf>
    <xf numFmtId="0" fontId="8" fillId="6" borderId="9" xfId="0" applyFont="1" applyFill="1" applyBorder="1"/>
    <xf numFmtId="0" fontId="8" fillId="6" borderId="15" xfId="0" applyFont="1" applyFill="1" applyBorder="1"/>
    <xf numFmtId="170" fontId="11" fillId="6" borderId="10" xfId="0" applyNumberFormat="1" applyFont="1" applyFill="1" applyBorder="1" applyAlignment="1">
      <alignment horizontal="center" vertical="center"/>
    </xf>
    <xf numFmtId="0" fontId="12" fillId="5" borderId="2" xfId="2" applyFont="1" applyFill="1" applyBorder="1"/>
    <xf numFmtId="0" fontId="11" fillId="4" borderId="3" xfId="0" applyFont="1" applyFill="1" applyBorder="1" applyAlignment="1">
      <alignment horizontal="left" indent="3"/>
    </xf>
    <xf numFmtId="170" fontId="11" fillId="4" borderId="12" xfId="0" applyNumberFormat="1" applyFont="1" applyFill="1" applyBorder="1" applyAlignment="1">
      <alignment horizontal="center" vertical="center"/>
    </xf>
    <xf numFmtId="0" fontId="5" fillId="4" borderId="4" xfId="0" applyFont="1" applyFill="1" applyBorder="1"/>
    <xf numFmtId="0" fontId="4" fillId="3" borderId="11" xfId="0" applyFont="1" applyFill="1" applyBorder="1" applyAlignment="1">
      <alignment horizontal="center" vertical="center"/>
    </xf>
    <xf numFmtId="8" fontId="8" fillId="4" borderId="16" xfId="0" applyNumberFormat="1" applyFont="1" applyFill="1" applyBorder="1" applyAlignment="1">
      <alignment horizontal="center" vertical="center"/>
    </xf>
    <xf numFmtId="8" fontId="8" fillId="4" borderId="19" xfId="0" applyNumberFormat="1" applyFont="1" applyFill="1" applyBorder="1" applyAlignment="1">
      <alignment horizontal="center" vertical="center"/>
    </xf>
    <xf numFmtId="8" fontId="8" fillId="4" borderId="17" xfId="0" applyNumberFormat="1" applyFont="1" applyFill="1" applyBorder="1" applyAlignment="1">
      <alignment horizontal="center" vertical="center"/>
    </xf>
    <xf numFmtId="8" fontId="8" fillId="4" borderId="21" xfId="0" applyNumberFormat="1" applyFont="1" applyFill="1" applyBorder="1" applyAlignment="1">
      <alignment horizontal="center" vertical="center"/>
    </xf>
    <xf numFmtId="8" fontId="8" fillId="4" borderId="23" xfId="0" applyNumberFormat="1" applyFont="1" applyFill="1" applyBorder="1" applyAlignment="1">
      <alignment horizontal="center" vertical="center"/>
    </xf>
    <xf numFmtId="8" fontId="8" fillId="4" borderId="2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left" vertical="center" indent="3"/>
    </xf>
    <xf numFmtId="0" fontId="13" fillId="5" borderId="11" xfId="2" applyFont="1" applyFill="1" applyBorder="1" applyAlignment="1">
      <alignment horizontal="center"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" panose="020B0502040204020203" pitchFamily="34" charset="0"/>
                <a:cs typeface="Segoe UI" panose="020B0502040204020203" pitchFamily="34" charset="0"/>
              </a:rPr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8-4207-91E7-79D5E40D9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5</xdr:col>
      <xdr:colOff>0</xdr:colOff>
      <xdr:row>9</xdr:row>
      <xdr:rowOff>94584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1CF4A1-DC7F-27C8-2640-33422A2F6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76" b="15224"/>
        <a:stretch>
          <a:fillRect/>
        </a:stretch>
      </xdr:blipFill>
      <xdr:spPr>
        <a:xfrm>
          <a:off x="0" y="19050"/>
          <a:ext cx="6781800" cy="1704309"/>
        </a:xfrm>
        <a:prstGeom prst="rect">
          <a:avLst/>
        </a:prstGeom>
      </xdr:spPr>
    </xdr:pic>
    <xdr:clientData/>
  </xdr:twoCellAnchor>
  <xdr:twoCellAnchor>
    <xdr:from>
      <xdr:col>1</xdr:col>
      <xdr:colOff>20954</xdr:colOff>
      <xdr:row>41</xdr:row>
      <xdr:rowOff>153351</xdr:rowOff>
    </xdr:from>
    <xdr:to>
      <xdr:col>4</xdr:col>
      <xdr:colOff>3809</xdr:colOff>
      <xdr:row>56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CEDDCF-9846-CDC9-FC47-CEBB60B09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4B35-3AE2-49D8-99A1-AF1B1C0A0952}">
  <dimension ref="A10:XFD71"/>
  <sheetViews>
    <sheetView showGridLines="0" showRowColHeaders="0" tabSelected="1" workbookViewId="0">
      <selection activeCell="E1" sqref="E1:E1048576"/>
    </sheetView>
  </sheetViews>
  <sheetFormatPr defaultColWidth="8.88671875" defaultRowHeight="14.4" x14ac:dyDescent="0.3"/>
  <cols>
    <col min="1" max="1" width="6.109375" customWidth="1"/>
    <col min="2" max="2" width="36.6640625" customWidth="1"/>
    <col min="3" max="3" width="28.5546875" customWidth="1"/>
    <col min="4" max="4" width="20.77734375" customWidth="1"/>
    <col min="5" max="5" width="6.6640625" customWidth="1"/>
    <col min="6" max="6" width="2.88671875" hidden="1" customWidth="1"/>
    <col min="7" max="8" width="2.44140625" hidden="1" customWidth="1"/>
    <col min="9" max="11" width="8.88671875" hidden="1" customWidth="1"/>
    <col min="12" max="16383" width="0" hidden="1" customWidth="1"/>
    <col min="16384" max="16384" width="1.5546875" hidden="1" customWidth="1"/>
  </cols>
  <sheetData>
    <row r="10" spans="2:4" ht="11.4" customHeight="1" x14ac:dyDescent="0.3"/>
    <row r="11" spans="2:4" ht="11.4" customHeight="1" thickBot="1" x14ac:dyDescent="0.35"/>
    <row r="12" spans="2:4" ht="25.2" customHeight="1" x14ac:dyDescent="0.3">
      <c r="B12" s="67" t="s">
        <v>15</v>
      </c>
      <c r="C12" s="68"/>
      <c r="D12" s="69"/>
    </row>
    <row r="13" spans="2:4" ht="15" customHeight="1" x14ac:dyDescent="0.45">
      <c r="B13" s="26" t="s">
        <v>14</v>
      </c>
      <c r="C13" s="11"/>
      <c r="D13" s="27">
        <v>5000</v>
      </c>
    </row>
    <row r="14" spans="2:4" ht="15" customHeight="1" x14ac:dyDescent="0.45">
      <c r="B14" s="28" t="s">
        <v>13</v>
      </c>
      <c r="C14" s="12"/>
      <c r="D14" s="29">
        <v>6.0000000000000001E-3</v>
      </c>
    </row>
    <row r="15" spans="2:4" ht="15" customHeight="1" thickBot="1" x14ac:dyDescent="0.5">
      <c r="B15" s="30" t="s">
        <v>35</v>
      </c>
      <c r="C15" s="31"/>
      <c r="D15" s="32">
        <f>D13*30%</f>
        <v>1500</v>
      </c>
    </row>
    <row r="16" spans="2:4" ht="15" customHeight="1" thickBot="1" x14ac:dyDescent="0.35"/>
    <row r="17" spans="1:6" ht="28.2" customHeight="1" x14ac:dyDescent="0.3">
      <c r="B17" s="3" t="s">
        <v>5</v>
      </c>
      <c r="C17" s="4"/>
      <c r="D17" s="5"/>
    </row>
    <row r="18" spans="1:6" ht="15" customHeight="1" x14ac:dyDescent="0.3">
      <c r="B18" s="16" t="s">
        <v>0</v>
      </c>
      <c r="C18" s="8"/>
      <c r="D18" s="17">
        <v>200</v>
      </c>
    </row>
    <row r="19" spans="1:6" ht="15" customHeight="1" x14ac:dyDescent="0.3">
      <c r="B19" s="18" t="s">
        <v>1</v>
      </c>
      <c r="C19" s="9"/>
      <c r="D19" s="19">
        <v>5</v>
      </c>
    </row>
    <row r="20" spans="1:6" ht="15" customHeight="1" x14ac:dyDescent="0.3">
      <c r="B20" s="18" t="s">
        <v>2</v>
      </c>
      <c r="C20" s="9"/>
      <c r="D20" s="20">
        <v>1.0789999999999999E-2</v>
      </c>
    </row>
    <row r="21" spans="1:6" ht="15" customHeight="1" x14ac:dyDescent="0.3">
      <c r="B21" s="21" t="s">
        <v>3</v>
      </c>
      <c r="C21" s="10"/>
      <c r="D21" s="22">
        <f>FV(taxa_mensal,qtd_anos*12,aporte*-1)</f>
        <v>16755.382799697527</v>
      </c>
    </row>
    <row r="22" spans="1:6" ht="15" customHeight="1" thickBot="1" x14ac:dyDescent="0.35">
      <c r="B22" s="23" t="s">
        <v>4</v>
      </c>
      <c r="C22" s="24"/>
      <c r="D22" s="25">
        <f>patrimonio*rendimento_carteira</f>
        <v>100.53229679818516</v>
      </c>
    </row>
    <row r="23" spans="1:6" ht="15" customHeight="1" thickBot="1" x14ac:dyDescent="0.35"/>
    <row r="24" spans="1:6" ht="27" x14ac:dyDescent="0.3">
      <c r="B24" s="6" t="s">
        <v>11</v>
      </c>
      <c r="C24" s="59"/>
      <c r="D24" s="66" t="s">
        <v>12</v>
      </c>
      <c r="F24" s="2"/>
    </row>
    <row r="25" spans="1:6" ht="19.2" x14ac:dyDescent="0.3">
      <c r="A25" s="1">
        <v>2</v>
      </c>
      <c r="B25" s="13" t="s">
        <v>9</v>
      </c>
      <c r="C25" s="60">
        <f>FV($D$20,$A25*12,$D$18*-1)</f>
        <v>5445.5254595290435</v>
      </c>
      <c r="D25" s="61">
        <f>C25*rendimento_carteira</f>
        <v>32.673152757174265</v>
      </c>
    </row>
    <row r="26" spans="1:6" ht="19.2" x14ac:dyDescent="0.3">
      <c r="A26" s="1">
        <v>5</v>
      </c>
      <c r="B26" s="14" t="s">
        <v>10</v>
      </c>
      <c r="C26" s="62">
        <f>FV($D$20,$A26*12,$D$18*-1)</f>
        <v>16755.382799697527</v>
      </c>
      <c r="D26" s="63">
        <f>C26*rendimento_carteira</f>
        <v>100.53229679818516</v>
      </c>
    </row>
    <row r="27" spans="1:6" ht="19.2" x14ac:dyDescent="0.3">
      <c r="A27" s="1">
        <v>10</v>
      </c>
      <c r="B27" s="14" t="s">
        <v>6</v>
      </c>
      <c r="C27" s="62">
        <f>FV($D$20,$A27*12,$D$18*-1)</f>
        <v>48656.842506034438</v>
      </c>
      <c r="D27" s="63">
        <f>C27*rendimento_carteira</f>
        <v>291.94105503620665</v>
      </c>
    </row>
    <row r="28" spans="1:6" ht="19.2" x14ac:dyDescent="0.3">
      <c r="A28" s="1">
        <v>20</v>
      </c>
      <c r="B28" s="14" t="s">
        <v>7</v>
      </c>
      <c r="C28" s="62">
        <f>FV($D$20,$A28*12,$D$18*-1)</f>
        <v>225039.68001941612</v>
      </c>
      <c r="D28" s="63">
        <f>C28*rendimento_carteira</f>
        <v>1350.2380801164968</v>
      </c>
    </row>
    <row r="29" spans="1:6" ht="19.8" thickBot="1" x14ac:dyDescent="0.35">
      <c r="A29" s="1">
        <v>30</v>
      </c>
      <c r="B29" s="15" t="s">
        <v>8</v>
      </c>
      <c r="C29" s="64">
        <f>FV($D$20,$A29*12,$D$18*-1)</f>
        <v>864433.93100094295</v>
      </c>
      <c r="D29" s="65">
        <f>C29*rendimento_carteira</f>
        <v>5186.6035860056581</v>
      </c>
    </row>
    <row r="30" spans="1:6" ht="15" thickBot="1" x14ac:dyDescent="0.35"/>
    <row r="31" spans="1:6" ht="21.6" customHeight="1" x14ac:dyDescent="0.3">
      <c r="B31" s="70" t="s">
        <v>16</v>
      </c>
      <c r="C31" s="71" t="s">
        <v>33</v>
      </c>
      <c r="D31" s="55"/>
    </row>
    <row r="32" spans="1:6" ht="19.8" thickBot="1" x14ac:dyDescent="0.5">
      <c r="B32" s="56" t="s">
        <v>18</v>
      </c>
      <c r="C32" s="57">
        <f>aporte</f>
        <v>200</v>
      </c>
      <c r="D32" s="58"/>
    </row>
    <row r="33" spans="2:4" ht="15" thickBot="1" x14ac:dyDescent="0.35"/>
    <row r="34" spans="2:4" ht="19.2" x14ac:dyDescent="0.3">
      <c r="B34" s="44" t="s">
        <v>19</v>
      </c>
      <c r="C34" s="45" t="s">
        <v>20</v>
      </c>
      <c r="D34" s="7" t="s">
        <v>21</v>
      </c>
    </row>
    <row r="35" spans="2:4" ht="19.2" x14ac:dyDescent="0.45">
      <c r="B35" s="46" t="s">
        <v>22</v>
      </c>
      <c r="C35" s="47">
        <f>VLOOKUP($C$31&amp;"-"&amp;B35,Planilha2!$A:$D,4,FALSE)</f>
        <v>0.32</v>
      </c>
      <c r="D35" s="48">
        <f>C35*$C$32</f>
        <v>64</v>
      </c>
    </row>
    <row r="36" spans="2:4" ht="19.2" x14ac:dyDescent="0.45">
      <c r="B36" s="49" t="s">
        <v>23</v>
      </c>
      <c r="C36" s="50">
        <f>VLOOKUP($C$31&amp;"-"&amp;B36,Planilha2!$A:$D,4,FALSE)</f>
        <v>0.35</v>
      </c>
      <c r="D36" s="51">
        <f>C36*$C$32</f>
        <v>70</v>
      </c>
    </row>
    <row r="37" spans="2:4" ht="19.2" x14ac:dyDescent="0.45">
      <c r="B37" s="49" t="s">
        <v>24</v>
      </c>
      <c r="C37" s="50">
        <f>VLOOKUP($C$31&amp;"-"&amp;B37,Planilha2!$A:$D,4,FALSE)</f>
        <v>0.08</v>
      </c>
      <c r="D37" s="51">
        <f>C37*$C$32</f>
        <v>16</v>
      </c>
    </row>
    <row r="38" spans="2:4" ht="19.2" x14ac:dyDescent="0.45">
      <c r="B38" s="49" t="s">
        <v>25</v>
      </c>
      <c r="C38" s="50">
        <f>VLOOKUP($C$31&amp;"-"&amp;B38,Planilha2!$A:$D,4,FALSE)</f>
        <v>0.05</v>
      </c>
      <c r="D38" s="51">
        <f>C38*$C$32</f>
        <v>10</v>
      </c>
    </row>
    <row r="39" spans="2:4" ht="19.2" x14ac:dyDescent="0.45">
      <c r="B39" s="49" t="s">
        <v>26</v>
      </c>
      <c r="C39" s="50">
        <f>VLOOKUP($C$31&amp;"-"&amp;B39,Planilha2!$A:$D,4,FALSE)</f>
        <v>0.1</v>
      </c>
      <c r="D39" s="51">
        <f>C39*$C$32</f>
        <v>20</v>
      </c>
    </row>
    <row r="40" spans="2:4" ht="19.2" x14ac:dyDescent="0.45">
      <c r="B40" s="49" t="s">
        <v>27</v>
      </c>
      <c r="C40" s="50">
        <f>VLOOKUP($C$31&amp;"-"&amp;B40,Planilha2!$A:$D,4,FALSE)</f>
        <v>0.1</v>
      </c>
      <c r="D40" s="51">
        <f>C40*$C$32</f>
        <v>20</v>
      </c>
    </row>
    <row r="41" spans="2:4" ht="19.8" thickBot="1" x14ac:dyDescent="0.5">
      <c r="B41" s="52"/>
      <c r="C41" s="53"/>
      <c r="D41" s="54">
        <f>SUM(D35:D40)</f>
        <v>200</v>
      </c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mergeCells count="10">
    <mergeCell ref="B20:C20"/>
    <mergeCell ref="B21:C21"/>
    <mergeCell ref="B22:C22"/>
    <mergeCell ref="B17:D17"/>
    <mergeCell ref="B19:C19"/>
    <mergeCell ref="B12:D12"/>
    <mergeCell ref="B13:C13"/>
    <mergeCell ref="B14:C14"/>
    <mergeCell ref="B15:C15"/>
    <mergeCell ref="B18:C18"/>
  </mergeCells>
  <dataValidations count="1">
    <dataValidation type="list" allowBlank="1" showInputMessage="1" showErrorMessage="1" sqref="C31" xr:uid="{0AFE3BC6-474A-4D91-A52A-471C78426B4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22CD-A177-445B-AD9D-8DFE0B9D1C78}">
  <dimension ref="A2:H20"/>
  <sheetViews>
    <sheetView workbookViewId="0">
      <selection activeCell="C28" sqref="C28"/>
    </sheetView>
  </sheetViews>
  <sheetFormatPr defaultRowHeight="14.4" x14ac:dyDescent="0.3"/>
  <cols>
    <col min="1" max="1" width="32.109375" bestFit="1" customWidth="1"/>
    <col min="2" max="2" width="14" bestFit="1" customWidth="1"/>
    <col min="3" max="3" width="21.88671875" bestFit="1" customWidth="1"/>
    <col min="7" max="7" width="17.109375" customWidth="1"/>
  </cols>
  <sheetData>
    <row r="2" spans="1:8" x14ac:dyDescent="0.3">
      <c r="A2" t="s">
        <v>32</v>
      </c>
      <c r="B2" t="s">
        <v>30</v>
      </c>
      <c r="C2" t="s">
        <v>29</v>
      </c>
      <c r="D2" s="34" t="s">
        <v>31</v>
      </c>
    </row>
    <row r="3" spans="1:8" x14ac:dyDescent="0.3">
      <c r="A3" t="str">
        <f>B3&amp;"-"&amp;C3</f>
        <v>CONSERVADOR-PAPEL</v>
      </c>
      <c r="B3" t="s">
        <v>28</v>
      </c>
      <c r="C3" s="35" t="s">
        <v>22</v>
      </c>
      <c r="D3" s="36">
        <v>0.3</v>
      </c>
    </row>
    <row r="4" spans="1:8" x14ac:dyDescent="0.3">
      <c r="A4" t="str">
        <f t="shared" ref="A4:A20" si="0">B4&amp;"-"&amp;C4</f>
        <v>CONSERVADOR-TIJOLO</v>
      </c>
      <c r="B4" t="s">
        <v>28</v>
      </c>
      <c r="C4" s="35" t="s">
        <v>23</v>
      </c>
      <c r="D4" s="36">
        <v>0.5</v>
      </c>
      <c r="G4" s="33" t="s">
        <v>34</v>
      </c>
      <c r="H4" s="43">
        <f>VLOOKUP(G4,$A:$D,4,FALSE)</f>
        <v>0.35</v>
      </c>
    </row>
    <row r="5" spans="1:8" x14ac:dyDescent="0.3">
      <c r="A5" t="str">
        <f t="shared" si="0"/>
        <v>CONSERVADOR-HÍBRIDOS</v>
      </c>
      <c r="B5" t="s">
        <v>28</v>
      </c>
      <c r="C5" s="35" t="s">
        <v>24</v>
      </c>
      <c r="D5" s="36">
        <v>0.1</v>
      </c>
    </row>
    <row r="6" spans="1:8" x14ac:dyDescent="0.3">
      <c r="A6" t="str">
        <f t="shared" si="0"/>
        <v>CONSERVADOR-FOFs</v>
      </c>
      <c r="B6" t="s">
        <v>28</v>
      </c>
      <c r="C6" s="35" t="s">
        <v>25</v>
      </c>
      <c r="D6" s="36">
        <v>0.1</v>
      </c>
    </row>
    <row r="7" spans="1:8" x14ac:dyDescent="0.3">
      <c r="A7" t="str">
        <f t="shared" si="0"/>
        <v>CONSERVADOR-DESENVOLVIMENTO</v>
      </c>
      <c r="B7" s="37" t="s">
        <v>28</v>
      </c>
      <c r="C7" s="38" t="s">
        <v>26</v>
      </c>
      <c r="D7" s="41">
        <v>0</v>
      </c>
    </row>
    <row r="8" spans="1:8" ht="15" thickBot="1" x14ac:dyDescent="0.35">
      <c r="A8" s="39" t="str">
        <f t="shared" si="0"/>
        <v>CONSERVADOR-HOTELARIAS</v>
      </c>
      <c r="B8" s="39" t="s">
        <v>28</v>
      </c>
      <c r="C8" s="40" t="s">
        <v>27</v>
      </c>
      <c r="D8" s="42">
        <v>0</v>
      </c>
    </row>
    <row r="9" spans="1:8" x14ac:dyDescent="0.3">
      <c r="A9" t="str">
        <f t="shared" si="0"/>
        <v>MODERADO-PAPEL</v>
      </c>
      <c r="B9" t="s">
        <v>33</v>
      </c>
      <c r="C9" s="35" t="s">
        <v>22</v>
      </c>
      <c r="D9" s="36">
        <v>0.32</v>
      </c>
    </row>
    <row r="10" spans="1:8" x14ac:dyDescent="0.3">
      <c r="A10" t="str">
        <f t="shared" si="0"/>
        <v>MODERADO-TIJOLO</v>
      </c>
      <c r="B10" t="s">
        <v>33</v>
      </c>
      <c r="C10" s="35" t="s">
        <v>23</v>
      </c>
      <c r="D10" s="36">
        <v>0.35</v>
      </c>
    </row>
    <row r="11" spans="1:8" x14ac:dyDescent="0.3">
      <c r="A11" t="str">
        <f t="shared" si="0"/>
        <v>MODERADO-HÍBRIDOS</v>
      </c>
      <c r="B11" t="s">
        <v>33</v>
      </c>
      <c r="C11" s="35" t="s">
        <v>24</v>
      </c>
      <c r="D11" s="36">
        <v>0.08</v>
      </c>
    </row>
    <row r="12" spans="1:8" x14ac:dyDescent="0.3">
      <c r="A12" t="str">
        <f t="shared" si="0"/>
        <v>MODERADO-FOFs</v>
      </c>
      <c r="B12" t="s">
        <v>33</v>
      </c>
      <c r="C12" s="35" t="s">
        <v>25</v>
      </c>
      <c r="D12" s="36">
        <v>0.05</v>
      </c>
    </row>
    <row r="13" spans="1:8" x14ac:dyDescent="0.3">
      <c r="A13" s="37" t="str">
        <f t="shared" si="0"/>
        <v>MODERADO-DESENVOLVIMENTO</v>
      </c>
      <c r="B13" s="37" t="s">
        <v>33</v>
      </c>
      <c r="C13" s="38" t="s">
        <v>26</v>
      </c>
      <c r="D13" s="36">
        <v>0.1</v>
      </c>
    </row>
    <row r="14" spans="1:8" ht="15" thickBot="1" x14ac:dyDescent="0.35">
      <c r="A14" s="39" t="str">
        <f t="shared" si="0"/>
        <v>MODERADO-HOTELARIAS</v>
      </c>
      <c r="B14" s="39" t="s">
        <v>33</v>
      </c>
      <c r="C14" s="40" t="s">
        <v>27</v>
      </c>
      <c r="D14" s="42">
        <v>0.1</v>
      </c>
    </row>
    <row r="15" spans="1:8" x14ac:dyDescent="0.3">
      <c r="A15" t="str">
        <f t="shared" si="0"/>
        <v>AGRESSIVO-PAPEL</v>
      </c>
      <c r="B15" t="s">
        <v>17</v>
      </c>
      <c r="C15" s="35" t="s">
        <v>22</v>
      </c>
      <c r="D15" s="36">
        <v>0.5</v>
      </c>
    </row>
    <row r="16" spans="1:8" x14ac:dyDescent="0.3">
      <c r="A16" t="str">
        <f t="shared" si="0"/>
        <v>AGRESSIVO-TIJOLO</v>
      </c>
      <c r="B16" t="s">
        <v>17</v>
      </c>
      <c r="C16" s="35" t="s">
        <v>23</v>
      </c>
      <c r="D16" s="36">
        <v>0.1</v>
      </c>
    </row>
    <row r="17" spans="1:4" x14ac:dyDescent="0.3">
      <c r="A17" t="str">
        <f t="shared" si="0"/>
        <v>AGRESSIVO-HÍBRIDOS</v>
      </c>
      <c r="B17" t="s">
        <v>17</v>
      </c>
      <c r="C17" s="35" t="s">
        <v>24</v>
      </c>
      <c r="D17" s="36">
        <v>0.05</v>
      </c>
    </row>
    <row r="18" spans="1:4" x14ac:dyDescent="0.3">
      <c r="A18" t="str">
        <f t="shared" si="0"/>
        <v>AGRESSIVO-FOFs</v>
      </c>
      <c r="B18" t="s">
        <v>17</v>
      </c>
      <c r="C18" s="35" t="s">
        <v>25</v>
      </c>
      <c r="D18" s="36">
        <v>0.05</v>
      </c>
    </row>
    <row r="19" spans="1:4" x14ac:dyDescent="0.3">
      <c r="A19" t="str">
        <f t="shared" si="0"/>
        <v>AGRESSIVO-DESENVOLVIMENTO</v>
      </c>
      <c r="B19" t="s">
        <v>17</v>
      </c>
      <c r="C19" s="35" t="s">
        <v>26</v>
      </c>
      <c r="D19" s="36">
        <v>0.2</v>
      </c>
    </row>
    <row r="20" spans="1:4" x14ac:dyDescent="0.3">
      <c r="A20" t="str">
        <f t="shared" si="0"/>
        <v>AGRESSIVO-HOTELARIAS</v>
      </c>
      <c r="B20" t="s">
        <v>17</v>
      </c>
      <c r="C20" s="35" t="s">
        <v>27</v>
      </c>
      <c r="D20" s="3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Ribeiro</dc:creator>
  <cp:lastModifiedBy>Fernanda Ribeiro</cp:lastModifiedBy>
  <dcterms:created xsi:type="dcterms:W3CDTF">2026-02-10T18:33:13Z</dcterms:created>
  <dcterms:modified xsi:type="dcterms:W3CDTF">2026-02-10T22:09:12Z</dcterms:modified>
</cp:coreProperties>
</file>